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U:\GitHub\AMB-Metadata-Team\tools\"/>
    </mc:Choice>
  </mc:AlternateContent>
  <bookViews>
    <workbookView xWindow="0" yWindow="0" windowWidth="18705" windowHeight="9705"/>
  </bookViews>
  <sheets>
    <sheet name="RELS-EXT" sheetId="4" r:id="rId1"/>
    <sheet name="RELS-EXT-COMMANDS" sheetId="5" r:id="rId2"/>
    <sheet name="MODS" sheetId="3" r:id="rId3"/>
    <sheet name="MODS-COMMANDS" sheetId="6" r:id="rId4"/>
    <sheet name="SOURCE" sheetId="7" r:id="rId5"/>
    <sheet name="SOURCE-COMMANDS" sheetId="8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B6" i="7"/>
  <c r="B5" i="7"/>
  <c r="B4" i="7"/>
  <c r="D4" i="7" s="1"/>
  <c r="D3" i="7"/>
  <c r="B3" i="7"/>
  <c r="B2" i="7"/>
  <c r="D2" i="7" s="1"/>
  <c r="B2" i="8"/>
  <c r="D5" i="7" l="1"/>
  <c r="D6" i="7"/>
  <c r="D2" i="3"/>
  <c r="D3" i="3"/>
  <c r="D4" i="3"/>
  <c r="D5" i="3"/>
  <c r="D6" i="3"/>
  <c r="D2" i="4"/>
  <c r="D3" i="4"/>
  <c r="D4" i="4"/>
  <c r="D5" i="4"/>
  <c r="D6" i="4"/>
  <c r="C2" i="4"/>
  <c r="C3" i="4"/>
  <c r="C4" i="4"/>
  <c r="C5" i="4"/>
  <c r="C6" i="4"/>
  <c r="B6" i="4"/>
  <c r="B5" i="4"/>
  <c r="B4" i="4"/>
  <c r="B3" i="4"/>
  <c r="B2" i="4"/>
  <c r="C2" i="3"/>
  <c r="C3" i="3"/>
  <c r="C4" i="3"/>
  <c r="C5" i="3"/>
  <c r="C6" i="3"/>
  <c r="B3" i="3"/>
  <c r="B4" i="3"/>
  <c r="B5" i="3"/>
  <c r="B6" i="3"/>
  <c r="B2" i="3"/>
  <c r="B2" i="6"/>
  <c r="B2" i="5"/>
</calcChain>
</file>

<file path=xl/sharedStrings.xml><?xml version="1.0" encoding="utf-8"?>
<sst xmlns="http://schemas.openxmlformats.org/spreadsheetml/2006/main" count="33" uniqueCount="13">
  <si>
    <t>https://ur.nal.usda.gov/islandora/object/</t>
  </si>
  <si>
    <t>/datastream/RELS-EXT/view</t>
  </si>
  <si>
    <t>PID</t>
  </si>
  <si>
    <t>URL</t>
  </si>
  <si>
    <t>agid%3A6752281</t>
  </si>
  <si>
    <t>agid%3A6758213</t>
  </si>
  <si>
    <t>agid%3A6758214</t>
  </si>
  <si>
    <t>agid%3A6758215</t>
  </si>
  <si>
    <t>agid%3A6758216</t>
  </si>
  <si>
    <t>/datastream/MODS/view</t>
  </si>
  <si>
    <t>filename</t>
  </si>
  <si>
    <t>curl</t>
  </si>
  <si>
    <t>/datastream/SOURCE/view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</si>
</sst>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4" name="RelsTable" displayName="RelsTable" ref="A1:D6" totalsRowShown="0">
  <autoFilter ref="A1:D6"/>
  <tableColumns count="4">
    <tableColumn id="2" name="PID"/>
    <tableColumn id="4" name="URL">
      <calculatedColumnFormula>CONCATENATE($F$2,A2,$G$2)</calculatedColumnFormula>
    </tableColumn>
    <tableColumn id="5" name="filename" dataDxfId="5">
      <calculatedColumnFormula>CONCATENATE(SUBSTITUTE(A2,"agid%3A",""), "_rels",".xml")</calculatedColumnFormula>
    </tableColumn>
    <tableColumn id="6" name="curl" dataDxfId="4">
      <calculatedColumnFormula>CONCATENATE("Invoke-WebRequest ",B2," -o ",C2)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ModsTable" displayName="ModsTable" ref="A1:D6" totalsRowShown="0">
  <autoFilter ref="A1:D6"/>
  <tableColumns count="4">
    <tableColumn id="2" name="PID"/>
    <tableColumn id="4" name="URL">
      <calculatedColumnFormula>CONCATENATE($F$2,A2,$G$2)</calculatedColumnFormula>
    </tableColumn>
    <tableColumn id="5" name="filename" dataDxfId="3">
      <calculatedColumnFormula>CONCATENATE(SUBSTITUTE(A2,"agid%3A",""), "_mods",".xml")</calculatedColumnFormula>
    </tableColumn>
    <tableColumn id="6" name="curl" dataDxfId="2">
      <calculatedColumnFormula>CONCATENATE("Invoke-WebRequest ",B2," -o ",C2)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1" name="SourceTable" displayName="SourceTable" ref="A1:D6" totalsRowShown="0">
  <autoFilter ref="A1:D6"/>
  <tableColumns count="4">
    <tableColumn id="2" name="PID"/>
    <tableColumn id="4" name="URL">
      <calculatedColumnFormula>CONCATENATE($F$2,A2,$G$2)</calculatedColumnFormula>
    </tableColumn>
    <tableColumn id="5" name="filename" dataDxfId="0">
      <calculatedColumnFormula>CONCATENATE(SUBSTITUTE(A2,"agid%3A",""), "_source",".xml")</calculatedColumnFormula>
    </tableColumn>
    <tableColumn id="6" name="curl" dataDxfId="1">
      <calculatedColumnFormula>CONCATENATE("Invoke-WebRequest ",B2," -o ",C2)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tabSelected="1" workbookViewId="0"/>
  </sheetViews>
  <sheetFormatPr defaultRowHeight="15" x14ac:dyDescent="0.25"/>
  <cols>
    <col min="1" max="1" width="25.140625" customWidth="1"/>
    <col min="2" max="2" width="81.5703125" customWidth="1"/>
    <col min="3" max="3" width="23.28515625" customWidth="1"/>
    <col min="4" max="4" width="103.42578125" customWidth="1"/>
    <col min="6" max="6" width="39.85546875" customWidth="1"/>
    <col min="7" max="7" width="23" customWidth="1"/>
  </cols>
  <sheetData>
    <row r="1" spans="1:7" x14ac:dyDescent="0.25">
      <c r="A1" t="s">
        <v>2</v>
      </c>
      <c r="B1" t="s">
        <v>3</v>
      </c>
      <c r="C1" t="s">
        <v>10</v>
      </c>
      <c r="D1" t="s">
        <v>11</v>
      </c>
    </row>
    <row r="2" spans="1:7" x14ac:dyDescent="0.25">
      <c r="A2" t="s">
        <v>4</v>
      </c>
      <c r="B2" t="str">
        <f>CONCATENATE($F$2,A2,$G$2)</f>
        <v>https://ur.nal.usda.gov/islandora/object/agid%3A6752281/datastream/RELS-EXT/view</v>
      </c>
      <c r="C2" t="str">
        <f t="shared" ref="C2:C6" si="0">CONCATENATE(SUBSTITUTE(A2,"agid%3A",""), "_rels",".xml")</f>
        <v>6752281_rels.xml</v>
      </c>
      <c r="D2" t="str">
        <f t="shared" ref="D2:D6" si="1">CONCATENATE("Invoke-WebRequest ",B2," -o ",C2)</f>
        <v>Invoke-WebRequest https://ur.nal.usda.gov/islandora/object/agid%3A6752281/datastream/RELS-EXT/view -o 6752281_rels.xml</v>
      </c>
      <c r="F2" t="s">
        <v>0</v>
      </c>
      <c r="G2" t="s">
        <v>1</v>
      </c>
    </row>
    <row r="3" spans="1:7" x14ac:dyDescent="0.25">
      <c r="A3" t="s">
        <v>5</v>
      </c>
      <c r="B3" t="str">
        <f t="shared" ref="B3:B6" si="2">CONCATENATE($F$2,A3,$G$2)</f>
        <v>https://ur.nal.usda.gov/islandora/object/agid%3A6758213/datastream/RELS-EXT/view</v>
      </c>
      <c r="C3" t="str">
        <f t="shared" si="0"/>
        <v>6758213_rels.xml</v>
      </c>
      <c r="D3" t="str">
        <f t="shared" si="1"/>
        <v>Invoke-WebRequest https://ur.nal.usda.gov/islandora/object/agid%3A6758213/datastream/RELS-EXT/view -o 6758213_rels.xml</v>
      </c>
    </row>
    <row r="4" spans="1:7" x14ac:dyDescent="0.25">
      <c r="A4" t="s">
        <v>6</v>
      </c>
      <c r="B4" t="str">
        <f t="shared" si="2"/>
        <v>https://ur.nal.usda.gov/islandora/object/agid%3A6758214/datastream/RELS-EXT/view</v>
      </c>
      <c r="C4" t="str">
        <f t="shared" si="0"/>
        <v>6758214_rels.xml</v>
      </c>
      <c r="D4" t="str">
        <f t="shared" si="1"/>
        <v>Invoke-WebRequest https://ur.nal.usda.gov/islandora/object/agid%3A6758214/datastream/RELS-EXT/view -o 6758214_rels.xml</v>
      </c>
    </row>
    <row r="5" spans="1:7" x14ac:dyDescent="0.25">
      <c r="A5" t="s">
        <v>7</v>
      </c>
      <c r="B5" t="str">
        <f t="shared" si="2"/>
        <v>https://ur.nal.usda.gov/islandora/object/agid%3A6758215/datastream/RELS-EXT/view</v>
      </c>
      <c r="C5" t="str">
        <f t="shared" si="0"/>
        <v>6758215_rels.xml</v>
      </c>
      <c r="D5" t="str">
        <f t="shared" si="1"/>
        <v>Invoke-WebRequest https://ur.nal.usda.gov/islandora/object/agid%3A6758215/datastream/RELS-EXT/view -o 6758215_rels.xml</v>
      </c>
    </row>
    <row r="6" spans="1:7" x14ac:dyDescent="0.25">
      <c r="A6" t="s">
        <v>8</v>
      </c>
      <c r="B6" t="str">
        <f t="shared" si="2"/>
        <v>https://ur.nal.usda.gov/islandora/object/agid%3A6758216/datastream/RELS-EXT/view</v>
      </c>
      <c r="C6" t="str">
        <f t="shared" si="0"/>
        <v>6758216_rels.xml</v>
      </c>
      <c r="D6" t="str">
        <f t="shared" si="1"/>
        <v>Invoke-WebRequest https://ur.nal.usda.gov/islandora/object/agid%3A6758216/datastream/RELS-EXT/view -o 6758216_rels.xml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"/>
  <sheetViews>
    <sheetView workbookViewId="0">
      <selection activeCell="B2" sqref="B2"/>
    </sheetView>
  </sheetViews>
  <sheetFormatPr defaultRowHeight="15" x14ac:dyDescent="0.25"/>
  <cols>
    <col min="2" max="2" width="106.28515625" customWidth="1"/>
  </cols>
  <sheetData>
    <row r="2" spans="2:2" ht="105" x14ac:dyDescent="0.25">
      <c r="B2" s="1" t="str">
        <f>ConcatDelim(RelsTable[curl], "; ")</f>
        <v>Invoke-WebRequest https://ur.nal.usda.gov/islandora/object/agid%3A6752281/datastream/RELS-EXT/view -o 6752281_rels.xml; Invoke-WebRequest https://ur.nal.usda.gov/islandora/object/agid%3A6758213/datastream/RELS-EXT/view -o 6758213_rels.xml; Invoke-WebRequest https://ur.nal.usda.gov/islandora/object/agid%3A6758214/datastream/RELS-EXT/view -o 6758214_rels.xml; Invoke-WebRequest https://ur.nal.usda.gov/islandora/object/agid%3A6758215/datastream/RELS-EXT/view -o 6758215_rels.xml; Invoke-WebRequest https://ur.nal.usda.gov/islandora/object/agid%3A6758216/datastream/RELS-EXT/view -o 6758216_rels.xml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6"/>
  <sheetViews>
    <sheetView workbookViewId="0"/>
  </sheetViews>
  <sheetFormatPr defaultRowHeight="15" x14ac:dyDescent="0.25"/>
  <cols>
    <col min="1" max="1" width="25.140625" customWidth="1"/>
    <col min="2" max="2" width="81.5703125" customWidth="1"/>
    <col min="3" max="3" width="23.28515625" customWidth="1"/>
    <col min="4" max="4" width="116" customWidth="1"/>
    <col min="6" max="6" width="39.85546875" customWidth="1"/>
    <col min="7" max="7" width="23" customWidth="1"/>
  </cols>
  <sheetData>
    <row r="1" spans="1:7" x14ac:dyDescent="0.25">
      <c r="A1" t="s">
        <v>2</v>
      </c>
      <c r="B1" t="s">
        <v>3</v>
      </c>
      <c r="C1" t="s">
        <v>10</v>
      </c>
      <c r="D1" t="s">
        <v>11</v>
      </c>
    </row>
    <row r="2" spans="1:7" x14ac:dyDescent="0.25">
      <c r="A2" t="s">
        <v>4</v>
      </c>
      <c r="B2" t="str">
        <f>CONCATENATE($F$2,A2,$G$2)</f>
        <v>https://ur.nal.usda.gov/islandora/object/agid%3A6752281/datastream/MODS/view</v>
      </c>
      <c r="C2" t="str">
        <f t="shared" ref="C2:C6" si="0">CONCATENATE(SUBSTITUTE(A2,"agid%3A",""), "_mods",".xml")</f>
        <v>6752281_mods.xml</v>
      </c>
      <c r="D2" t="str">
        <f t="shared" ref="D2:D6" si="1">CONCATENATE("Invoke-WebRequest ",B2," -o ",C2)</f>
        <v>Invoke-WebRequest https://ur.nal.usda.gov/islandora/object/agid%3A6752281/datastream/MODS/view -o 6752281_mods.xml</v>
      </c>
      <c r="F2" t="s">
        <v>0</v>
      </c>
      <c r="G2" t="s">
        <v>9</v>
      </c>
    </row>
    <row r="3" spans="1:7" x14ac:dyDescent="0.25">
      <c r="A3" t="s">
        <v>5</v>
      </c>
      <c r="B3" t="str">
        <f t="shared" ref="B3:B6" si="2">CONCATENATE($F$2,A3,$G$2)</f>
        <v>https://ur.nal.usda.gov/islandora/object/agid%3A6758213/datastream/MODS/view</v>
      </c>
      <c r="C3" t="str">
        <f t="shared" si="0"/>
        <v>6758213_mods.xml</v>
      </c>
      <c r="D3" t="str">
        <f t="shared" si="1"/>
        <v>Invoke-WebRequest https://ur.nal.usda.gov/islandora/object/agid%3A6758213/datastream/MODS/view -o 6758213_mods.xml</v>
      </c>
    </row>
    <row r="4" spans="1:7" x14ac:dyDescent="0.25">
      <c r="A4" t="s">
        <v>6</v>
      </c>
      <c r="B4" t="str">
        <f t="shared" si="2"/>
        <v>https://ur.nal.usda.gov/islandora/object/agid%3A6758214/datastream/MODS/view</v>
      </c>
      <c r="C4" t="str">
        <f t="shared" si="0"/>
        <v>6758214_mods.xml</v>
      </c>
      <c r="D4" t="str">
        <f t="shared" si="1"/>
        <v>Invoke-WebRequest https://ur.nal.usda.gov/islandora/object/agid%3A6758214/datastream/MODS/view -o 6758214_mods.xml</v>
      </c>
    </row>
    <row r="5" spans="1:7" x14ac:dyDescent="0.25">
      <c r="A5" t="s">
        <v>7</v>
      </c>
      <c r="B5" t="str">
        <f t="shared" si="2"/>
        <v>https://ur.nal.usda.gov/islandora/object/agid%3A6758215/datastream/MODS/view</v>
      </c>
      <c r="C5" t="str">
        <f t="shared" si="0"/>
        <v>6758215_mods.xml</v>
      </c>
      <c r="D5" t="str">
        <f t="shared" si="1"/>
        <v>Invoke-WebRequest https://ur.nal.usda.gov/islandora/object/agid%3A6758215/datastream/MODS/view -o 6758215_mods.xml</v>
      </c>
    </row>
    <row r="6" spans="1:7" x14ac:dyDescent="0.25">
      <c r="A6" t="s">
        <v>8</v>
      </c>
      <c r="B6" t="str">
        <f t="shared" si="2"/>
        <v>https://ur.nal.usda.gov/islandora/object/agid%3A6758216/datastream/MODS/view</v>
      </c>
      <c r="C6" t="str">
        <f t="shared" si="0"/>
        <v>6758216_mods.xml</v>
      </c>
      <c r="D6" t="str">
        <f t="shared" si="1"/>
        <v>Invoke-WebRequest https://ur.nal.usda.gov/islandora/object/agid%3A6758216/datastream/MODS/view -o 6758216_mods.xml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"/>
  <sheetViews>
    <sheetView workbookViewId="0">
      <selection activeCell="B8" sqref="B8"/>
    </sheetView>
  </sheetViews>
  <sheetFormatPr defaultRowHeight="15" x14ac:dyDescent="0.25"/>
  <cols>
    <col min="2" max="2" width="99.42578125" customWidth="1"/>
  </cols>
  <sheetData>
    <row r="2" spans="2:2" ht="165" x14ac:dyDescent="0.25">
      <c r="B2" s="1" t="str">
        <f>ConcatDelim(ModsTable[curl], "; ")</f>
        <v>Invoke-WebRequest https://ur.nal.usda.gov/islandora/object/agid%3A6752281/datastream/MODS/view -o 6752281_mods.xml; Invoke-WebRequest https://ur.nal.usda.gov/islandora/object/agid%3A6758213/datastream/MODS/view -o 6758213_mods.xml; Invoke-WebRequest https://ur.nal.usda.gov/islandora/object/agid%3A6758214/datastream/MODS/view -o 6758214_mods.xml; Invoke-WebRequest https://ur.nal.usda.gov/islandora/object/agid%3A6758215/datastream/MODS/view -o 6758215_mods.xml; Invoke-WebRequest https://ur.nal.usda.gov/islandora/object/agid%3A6758216/datastream/MODS/view -o 6758216_mods.xml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6"/>
  <sheetViews>
    <sheetView workbookViewId="0">
      <selection activeCell="C3" sqref="C3"/>
    </sheetView>
  </sheetViews>
  <sheetFormatPr defaultRowHeight="15" x14ac:dyDescent="0.25"/>
  <cols>
    <col min="1" max="1" width="25.140625" customWidth="1"/>
    <col min="2" max="2" width="81.5703125" customWidth="1"/>
    <col min="3" max="3" width="23.28515625" customWidth="1"/>
    <col min="4" max="4" width="116" customWidth="1"/>
    <col min="6" max="6" width="39.85546875" customWidth="1"/>
    <col min="7" max="7" width="23" customWidth="1"/>
  </cols>
  <sheetData>
    <row r="1" spans="1:7" x14ac:dyDescent="0.25">
      <c r="A1" t="s">
        <v>2</v>
      </c>
      <c r="B1" t="s">
        <v>3</v>
      </c>
      <c r="C1" t="s">
        <v>10</v>
      </c>
      <c r="D1" t="s">
        <v>11</v>
      </c>
    </row>
    <row r="2" spans="1:7" x14ac:dyDescent="0.25">
      <c r="A2" t="s">
        <v>4</v>
      </c>
      <c r="B2" t="str">
        <f>CONCATENATE($F$2,A2,$G$2)</f>
        <v>https://ur.nal.usda.gov/islandora/object/agid%3A6752281/datastream/SOURCE/view</v>
      </c>
      <c r="C2" t="str">
        <f t="shared" ref="C2:C6" si="0">CONCATENATE(SUBSTITUTE(A2,"agid%3A",""), "_source",".xml")</f>
        <v>6752281_source.xml</v>
      </c>
      <c r="D2" t="str">
        <f t="shared" ref="D2:D6" si="1">CONCATENATE("Invoke-WebRequest ",B2," -o ",C2)</f>
        <v>Invoke-WebRequest https://ur.nal.usda.gov/islandora/object/agid%3A6752281/datastream/SOURCE/view -o 6752281_source.xml</v>
      </c>
      <c r="F2" t="s">
        <v>0</v>
      </c>
      <c r="G2" t="s">
        <v>12</v>
      </c>
    </row>
    <row r="3" spans="1:7" x14ac:dyDescent="0.25">
      <c r="A3" t="s">
        <v>5</v>
      </c>
      <c r="B3" t="str">
        <f t="shared" ref="B3:B6" si="2">CONCATENATE($F$2,A3,$G$2)</f>
        <v>https://ur.nal.usda.gov/islandora/object/agid%3A6758213/datastream/SOURCE/view</v>
      </c>
      <c r="C3" t="str">
        <f t="shared" si="0"/>
        <v>6758213_source.xml</v>
      </c>
      <c r="D3" t="str">
        <f t="shared" si="1"/>
        <v>Invoke-WebRequest https://ur.nal.usda.gov/islandora/object/agid%3A6758213/datastream/SOURCE/view -o 6758213_source.xml</v>
      </c>
    </row>
    <row r="4" spans="1:7" x14ac:dyDescent="0.25">
      <c r="A4" t="s">
        <v>6</v>
      </c>
      <c r="B4" t="str">
        <f t="shared" si="2"/>
        <v>https://ur.nal.usda.gov/islandora/object/agid%3A6758214/datastream/SOURCE/view</v>
      </c>
      <c r="C4" t="str">
        <f t="shared" si="0"/>
        <v>6758214_source.xml</v>
      </c>
      <c r="D4" t="str">
        <f t="shared" si="1"/>
        <v>Invoke-WebRequest https://ur.nal.usda.gov/islandora/object/agid%3A6758214/datastream/SOURCE/view -o 6758214_source.xml</v>
      </c>
    </row>
    <row r="5" spans="1:7" x14ac:dyDescent="0.25">
      <c r="A5" t="s">
        <v>7</v>
      </c>
      <c r="B5" t="str">
        <f t="shared" si="2"/>
        <v>https://ur.nal.usda.gov/islandora/object/agid%3A6758215/datastream/SOURCE/view</v>
      </c>
      <c r="C5" t="str">
        <f t="shared" si="0"/>
        <v>6758215_source.xml</v>
      </c>
      <c r="D5" t="str">
        <f t="shared" si="1"/>
        <v>Invoke-WebRequest https://ur.nal.usda.gov/islandora/object/agid%3A6758215/datastream/SOURCE/view -o 6758215_source.xml</v>
      </c>
    </row>
    <row r="6" spans="1:7" x14ac:dyDescent="0.25">
      <c r="A6" t="s">
        <v>8</v>
      </c>
      <c r="B6" t="str">
        <f t="shared" si="2"/>
        <v>https://ur.nal.usda.gov/islandora/object/agid%3A6758216/datastream/SOURCE/view</v>
      </c>
      <c r="C6" t="str">
        <f t="shared" si="0"/>
        <v>6758216_source.xml</v>
      </c>
      <c r="D6" t="str">
        <f t="shared" si="1"/>
        <v>Invoke-WebRequest https://ur.nal.usda.gov/islandora/object/agid%3A6758216/datastream/SOURCE/view -o 6758216_source.xml</v>
      </c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"/>
  <sheetViews>
    <sheetView workbookViewId="0">
      <selection activeCell="B3" sqref="B3"/>
    </sheetView>
  </sheetViews>
  <sheetFormatPr defaultRowHeight="15" x14ac:dyDescent="0.25"/>
  <cols>
    <col min="2" max="2" width="99.42578125" customWidth="1"/>
  </cols>
  <sheetData>
    <row r="2" spans="2:2" ht="165" x14ac:dyDescent="0.25">
      <c r="B2" s="1" t="str">
        <f>ConcatDelim(SourceTable[curl], "; ")</f>
        <v>Invoke-WebRequest https://ur.nal.usda.gov/islandora/object/agid%3A6752281/datastream/SOURCE/view -o 6752281_source.xml; Invoke-WebRequest https://ur.nal.usda.gov/islandora/object/agid%3A6758213/datastream/SOURCE/view -o 6758213_source.xml; Invoke-WebRequest https://ur.nal.usda.gov/islandora/object/agid%3A6758214/datastream/SOURCE/view -o 6758214_source.xml; Invoke-WebRequest https://ur.nal.usda.gov/islandora/object/agid%3A6758215/datastream/SOURCE/view -o 6758215_source.xml; Invoke-WebRequest https://ur.nal.usda.gov/islandora/object/agid%3A6758216/datastream/SOURCE/view -o 6758216_source.xml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RELS-EXT</vt:lpstr>
      <vt:lpstr>RELS-EXT-COMMANDS</vt:lpstr>
      <vt:lpstr>MODS</vt:lpstr>
      <vt:lpstr>MODS-COMMANDS</vt:lpstr>
      <vt:lpstr>SOURCE</vt:lpstr>
      <vt:lpstr>SOURCE-COMMANDS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Donahue, Rachel - ARS</dc:creator>
  <cp:lastModifiedBy>Donahue, Rachel - ARS</cp:lastModifiedBy>
  <dcterms:created xsi:type="dcterms:W3CDTF">2019-11-15T14:01:27Z</dcterms:created>
  <dcterms:modified xsi:type="dcterms:W3CDTF">2019-11-15T15:35:30Z</dcterms:modified>
</cp:coreProperties>
</file>